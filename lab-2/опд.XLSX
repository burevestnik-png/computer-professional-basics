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Users\speci\Desktop\ОПД\Лаб ОПД 2\"/>
    </mc:Choice>
  </mc:AlternateContent>
  <xr:revisionPtr revIDLastSave="0" documentId="13_ncr:1_{DED77418-4BFD-4225-8A87-F67E2DC01A53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/>
  <c r="C4" i="1" l="1"/>
  <c r="A5" i="1"/>
  <c r="C3" i="1"/>
  <c r="C5" i="1" l="1"/>
  <c r="A6" i="1"/>
  <c r="A7" i="1" l="1"/>
  <c r="C6" i="1"/>
  <c r="A8" i="1" l="1"/>
  <c r="C7" i="1"/>
  <c r="A9" i="1" l="1"/>
  <c r="C8" i="1"/>
  <c r="A10" i="1" l="1"/>
  <c r="C9" i="1"/>
  <c r="A11" i="1" l="1"/>
  <c r="C10" i="1"/>
  <c r="A12" i="1" l="1"/>
  <c r="C11" i="1"/>
  <c r="A13" i="1" l="1"/>
  <c r="C12" i="1"/>
  <c r="A14" i="1" l="1"/>
  <c r="C13" i="1"/>
  <c r="A15" i="1" l="1"/>
  <c r="C14" i="1"/>
  <c r="C15" i="1" l="1"/>
</calcChain>
</file>

<file path=xl/sharedStrings.xml><?xml version="1.0" encoding="utf-8"?>
<sst xmlns="http://schemas.openxmlformats.org/spreadsheetml/2006/main" count="148" uniqueCount="75">
  <si>
    <t>Адрес</t>
  </si>
  <si>
    <t>Код команды</t>
  </si>
  <si>
    <t>Мнемоника</t>
  </si>
  <si>
    <t>Пояснения</t>
  </si>
  <si>
    <t>0000</t>
  </si>
  <si>
    <t>a</t>
  </si>
  <si>
    <t>b</t>
  </si>
  <si>
    <t>c</t>
  </si>
  <si>
    <t>d</t>
  </si>
  <si>
    <t>e</t>
  </si>
  <si>
    <t>CLA</t>
  </si>
  <si>
    <t>А065</t>
  </si>
  <si>
    <t>E059</t>
  </si>
  <si>
    <t>405B</t>
  </si>
  <si>
    <t>0100</t>
  </si>
  <si>
    <t>0200</t>
  </si>
  <si>
    <t>E05A</t>
  </si>
  <si>
    <t>4059</t>
  </si>
  <si>
    <t>OR 064</t>
  </si>
  <si>
    <t>HLT</t>
  </si>
  <si>
    <t>LD 065</t>
  </si>
  <si>
    <t>(065) -&gt; AC</t>
  </si>
  <si>
    <t>ST 059</t>
  </si>
  <si>
    <t>0 -&gt; AC</t>
  </si>
  <si>
    <t>ADD 05B</t>
  </si>
  <si>
    <t>ADD 059</t>
  </si>
  <si>
    <t>ST 05A</t>
  </si>
  <si>
    <t>переменная</t>
  </si>
  <si>
    <t>AC -&gt; (059)</t>
  </si>
  <si>
    <t>^(^(064) &amp; ^(АС)) -&gt; AC</t>
  </si>
  <si>
    <t>(05B) + AC -&gt; AC</t>
  </si>
  <si>
    <t>(059) + AC -&gt; AC</t>
  </si>
  <si>
    <t>AC -&gt; (05A)</t>
  </si>
  <si>
    <t xml:space="preserve">отключение ТГ, </t>
  </si>
  <si>
    <t>Выполняемая команда</t>
  </si>
  <si>
    <t>Код</t>
  </si>
  <si>
    <t>Содержимое регистров процессора после выполнения команды</t>
  </si>
  <si>
    <t>Ячейка, содержимое которой изменилось после выполнения команды</t>
  </si>
  <si>
    <t>IP</t>
  </si>
  <si>
    <t>CR</t>
  </si>
  <si>
    <t>AR</t>
  </si>
  <si>
    <t>DR</t>
  </si>
  <si>
    <t>SP</t>
  </si>
  <si>
    <t>BR</t>
  </si>
  <si>
    <t>AC</t>
  </si>
  <si>
    <t>NZVC</t>
  </si>
  <si>
    <t xml:space="preserve">Адрес </t>
  </si>
  <si>
    <t>Новый код</t>
  </si>
  <si>
    <t>05С</t>
  </si>
  <si>
    <t>A065</t>
  </si>
  <si>
    <t>05D</t>
  </si>
  <si>
    <t>05E</t>
  </si>
  <si>
    <t>05F</t>
  </si>
  <si>
    <t>060</t>
  </si>
  <si>
    <t>061</t>
  </si>
  <si>
    <t>062</t>
  </si>
  <si>
    <t>063</t>
  </si>
  <si>
    <t>065</t>
  </si>
  <si>
    <t>3064</t>
  </si>
  <si>
    <t>059</t>
  </si>
  <si>
    <t>05A</t>
  </si>
  <si>
    <t>000</t>
  </si>
  <si>
    <t>005C</t>
  </si>
  <si>
    <t>-</t>
  </si>
  <si>
    <t>064</t>
  </si>
  <si>
    <t>05B</t>
  </si>
  <si>
    <t>BCA6</t>
  </si>
  <si>
    <t>4259</t>
  </si>
  <si>
    <t>005E</t>
  </si>
  <si>
    <t>005F</t>
  </si>
  <si>
    <t>0063</t>
  </si>
  <si>
    <t>0060</t>
  </si>
  <si>
    <t>0061</t>
  </si>
  <si>
    <t>4359</t>
  </si>
  <si>
    <t>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</si>
</sst>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_ ;\-0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66" fontId="0" fillId="0" borderId="0" xfId="0" applyNumberFormat="1"/>
    <xf numFmtId="166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49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0" xfId="0" applyAlignment="1">
      <alignment vertical="center" wrapText="1"/>
    </xf>
    <xf numFmtId="0" fontId="0" fillId="0" borderId="5" xfId="0" applyFill="1" applyBorder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5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topLeftCell="D1" workbookViewId="0">
      <selection activeCell="R17" sqref="R17"/>
    </sheetView>
  </sheetViews>
  <sheetFormatPr defaultRowHeight="14.4" x14ac:dyDescent="0.3"/>
  <cols>
    <col min="4" max="4" width="12.6640625" bestFit="1" customWidth="1"/>
    <col min="5" max="5" width="11.33203125" bestFit="1" customWidth="1"/>
    <col min="6" max="6" width="19.77734375" bestFit="1" customWidth="1"/>
    <col min="8" max="8" width="10.5546875" customWidth="1"/>
    <col min="9" max="9" width="10.88671875" customWidth="1"/>
    <col min="10" max="10" width="6.6640625" customWidth="1"/>
    <col min="11" max="13" width="6.77734375" customWidth="1"/>
    <col min="14" max="14" width="6.5546875" customWidth="1"/>
    <col min="15" max="16" width="6.6640625" customWidth="1"/>
    <col min="17" max="17" width="6.88671875" customWidth="1"/>
    <col min="18" max="18" width="13.77734375" customWidth="1"/>
    <col min="19" max="19" width="14.5546875" customWidth="1"/>
  </cols>
  <sheetData>
    <row r="1" spans="1:20" ht="42" customHeight="1" thickBot="1" x14ac:dyDescent="0.35">
      <c r="H1" s="18" t="s">
        <v>34</v>
      </c>
      <c r="I1" s="18"/>
      <c r="J1" s="18" t="s">
        <v>36</v>
      </c>
      <c r="K1" s="18"/>
      <c r="L1" s="18"/>
      <c r="M1" s="18"/>
      <c r="N1" s="18"/>
      <c r="O1" s="18"/>
      <c r="P1" s="18"/>
      <c r="Q1" s="18"/>
      <c r="R1" s="18" t="s">
        <v>37</v>
      </c>
      <c r="S1" s="18"/>
      <c r="T1" s="15"/>
    </row>
    <row r="2" spans="1:20" x14ac:dyDescent="0.3">
      <c r="C2" s="4" t="s">
        <v>0</v>
      </c>
      <c r="D2" s="5" t="s">
        <v>1</v>
      </c>
      <c r="E2" s="5" t="s">
        <v>2</v>
      </c>
      <c r="F2" s="6" t="s">
        <v>3</v>
      </c>
      <c r="H2" s="16" t="s">
        <v>0</v>
      </c>
      <c r="I2" s="16" t="s">
        <v>35</v>
      </c>
      <c r="J2" s="16" t="s">
        <v>38</v>
      </c>
      <c r="K2" s="16" t="s">
        <v>39</v>
      </c>
      <c r="L2" s="16" t="s">
        <v>40</v>
      </c>
      <c r="M2" s="16" t="s">
        <v>41</v>
      </c>
      <c r="N2" s="16" t="s">
        <v>42</v>
      </c>
      <c r="O2" s="16" t="s">
        <v>43</v>
      </c>
      <c r="P2" s="16" t="s">
        <v>44</v>
      </c>
      <c r="Q2" s="16" t="s">
        <v>45</v>
      </c>
      <c r="R2" s="16" t="s">
        <v>46</v>
      </c>
      <c r="S2" s="16" t="s">
        <v>47</v>
      </c>
    </row>
    <row r="3" spans="1:20" x14ac:dyDescent="0.3">
      <c r="A3" s="2">
        <f>89</f>
        <v>89</v>
      </c>
      <c r="C3" s="7" t="str">
        <f>DEC2HEX(A3)</f>
        <v>59</v>
      </c>
      <c r="D3" s="8">
        <v>3064</v>
      </c>
      <c r="E3" s="8" t="s">
        <v>5</v>
      </c>
      <c r="F3" s="9" t="s">
        <v>27</v>
      </c>
      <c r="H3" s="10" t="s">
        <v>48</v>
      </c>
      <c r="I3" s="10" t="s">
        <v>49</v>
      </c>
      <c r="J3" s="10" t="s">
        <v>50</v>
      </c>
      <c r="K3" s="10" t="s">
        <v>49</v>
      </c>
      <c r="L3" s="10" t="s">
        <v>57</v>
      </c>
      <c r="M3" s="10" t="s">
        <v>17</v>
      </c>
      <c r="N3" s="10" t="s">
        <v>61</v>
      </c>
      <c r="O3" s="10" t="s">
        <v>62</v>
      </c>
      <c r="P3" s="10" t="s">
        <v>17</v>
      </c>
      <c r="Q3" s="10" t="s">
        <v>4</v>
      </c>
      <c r="R3" s="10" t="s">
        <v>63</v>
      </c>
      <c r="S3" s="10" t="s">
        <v>63</v>
      </c>
    </row>
    <row r="4" spans="1:20" x14ac:dyDescent="0.3">
      <c r="A4" s="2">
        <f>A3+1</f>
        <v>90</v>
      </c>
      <c r="C4" s="7" t="str">
        <f>DEC2HEX(A4)</f>
        <v>5A</v>
      </c>
      <c r="D4" s="8">
        <v>3064</v>
      </c>
      <c r="E4" s="8" t="s">
        <v>6</v>
      </c>
      <c r="F4" s="9" t="s">
        <v>27</v>
      </c>
      <c r="H4" s="10" t="s">
        <v>50</v>
      </c>
      <c r="I4" s="8">
        <v>3064</v>
      </c>
      <c r="J4" s="10" t="s">
        <v>51</v>
      </c>
      <c r="K4" s="10" t="s">
        <v>58</v>
      </c>
      <c r="L4" s="10" t="s">
        <v>64</v>
      </c>
      <c r="M4" s="10" t="s">
        <v>15</v>
      </c>
      <c r="N4" s="10" t="s">
        <v>61</v>
      </c>
      <c r="O4" s="10" t="s">
        <v>66</v>
      </c>
      <c r="P4" s="10" t="s">
        <v>67</v>
      </c>
      <c r="Q4" s="10" t="s">
        <v>4</v>
      </c>
      <c r="R4" s="10" t="s">
        <v>63</v>
      </c>
      <c r="S4" s="10" t="s">
        <v>63</v>
      </c>
    </row>
    <row r="5" spans="1:20" x14ac:dyDescent="0.3">
      <c r="A5" s="2">
        <f>A4+1</f>
        <v>91</v>
      </c>
      <c r="C5" s="7" t="str">
        <f>DEC2HEX(A5)</f>
        <v>5B</v>
      </c>
      <c r="D5" s="10" t="s">
        <v>14</v>
      </c>
      <c r="E5" s="8" t="s">
        <v>7</v>
      </c>
      <c r="F5" s="9" t="s">
        <v>27</v>
      </c>
      <c r="H5" s="10" t="s">
        <v>51</v>
      </c>
      <c r="I5" s="8" t="s">
        <v>12</v>
      </c>
      <c r="J5" s="10" t="s">
        <v>52</v>
      </c>
      <c r="K5" s="10" t="s">
        <v>12</v>
      </c>
      <c r="L5" s="10" t="s">
        <v>59</v>
      </c>
      <c r="M5" s="10" t="s">
        <v>67</v>
      </c>
      <c r="N5" s="10" t="s">
        <v>61</v>
      </c>
      <c r="O5" s="10" t="s">
        <v>68</v>
      </c>
      <c r="P5" s="10" t="s">
        <v>67</v>
      </c>
      <c r="Q5" s="10" t="s">
        <v>4</v>
      </c>
      <c r="R5" s="10" t="s">
        <v>59</v>
      </c>
      <c r="S5" s="10" t="s">
        <v>67</v>
      </c>
    </row>
    <row r="6" spans="1:20" x14ac:dyDescent="0.3">
      <c r="A6" s="2">
        <f>A5+1</f>
        <v>92</v>
      </c>
      <c r="C6" s="7" t="str">
        <f>DEC2HEX(A6)</f>
        <v>5C</v>
      </c>
      <c r="D6" s="8" t="s">
        <v>11</v>
      </c>
      <c r="E6" s="8" t="s">
        <v>20</v>
      </c>
      <c r="F6" s="9" t="s">
        <v>21</v>
      </c>
      <c r="H6" s="10" t="s">
        <v>52</v>
      </c>
      <c r="I6" s="8" t="s">
        <v>15</v>
      </c>
      <c r="J6" s="10" t="s">
        <v>53</v>
      </c>
      <c r="K6" s="10" t="s">
        <v>15</v>
      </c>
      <c r="L6" s="10" t="s">
        <v>52</v>
      </c>
      <c r="M6" s="10" t="s">
        <v>15</v>
      </c>
      <c r="N6" s="10" t="s">
        <v>61</v>
      </c>
      <c r="O6" s="10" t="s">
        <v>69</v>
      </c>
      <c r="P6" s="10" t="s">
        <v>4</v>
      </c>
      <c r="Q6" s="10" t="s">
        <v>14</v>
      </c>
      <c r="R6" s="10" t="s">
        <v>63</v>
      </c>
      <c r="S6" s="10" t="s">
        <v>63</v>
      </c>
    </row>
    <row r="7" spans="1:20" x14ac:dyDescent="0.3">
      <c r="A7" s="2">
        <f>A6+1</f>
        <v>93</v>
      </c>
      <c r="C7" s="7" t="str">
        <f>DEC2HEX(A7)</f>
        <v>5D</v>
      </c>
      <c r="D7" s="8">
        <v>3064</v>
      </c>
      <c r="E7" s="8" t="s">
        <v>18</v>
      </c>
      <c r="F7" s="9" t="s">
        <v>29</v>
      </c>
      <c r="H7" s="10" t="s">
        <v>53</v>
      </c>
      <c r="I7" s="8" t="s">
        <v>13</v>
      </c>
      <c r="J7" s="10" t="s">
        <v>54</v>
      </c>
      <c r="K7" s="10" t="s">
        <v>13</v>
      </c>
      <c r="L7" s="10" t="s">
        <v>65</v>
      </c>
      <c r="M7" s="10" t="s">
        <v>14</v>
      </c>
      <c r="N7" s="10" t="s">
        <v>61</v>
      </c>
      <c r="O7" s="10" t="s">
        <v>71</v>
      </c>
      <c r="P7" s="10" t="s">
        <v>14</v>
      </c>
      <c r="Q7" s="10" t="s">
        <v>4</v>
      </c>
      <c r="R7" s="10" t="s">
        <v>63</v>
      </c>
      <c r="S7" s="10" t="s">
        <v>63</v>
      </c>
    </row>
    <row r="8" spans="1:20" x14ac:dyDescent="0.3">
      <c r="A8" s="2">
        <f>A7+1</f>
        <v>94</v>
      </c>
      <c r="C8" s="7" t="str">
        <f>DEC2HEX(A8)</f>
        <v>5E</v>
      </c>
      <c r="D8" s="8" t="s">
        <v>12</v>
      </c>
      <c r="E8" s="8" t="s">
        <v>22</v>
      </c>
      <c r="F8" s="9" t="s">
        <v>28</v>
      </c>
      <c r="H8" s="10" t="s">
        <v>54</v>
      </c>
      <c r="I8" s="8">
        <v>4059</v>
      </c>
      <c r="J8" s="10" t="s">
        <v>55</v>
      </c>
      <c r="K8" s="10" t="s">
        <v>17</v>
      </c>
      <c r="L8" s="10" t="s">
        <v>59</v>
      </c>
      <c r="M8" s="10" t="s">
        <v>67</v>
      </c>
      <c r="N8" s="10" t="s">
        <v>61</v>
      </c>
      <c r="O8" s="10" t="s">
        <v>72</v>
      </c>
      <c r="P8" s="10" t="s">
        <v>73</v>
      </c>
      <c r="Q8" s="10" t="s">
        <v>4</v>
      </c>
      <c r="R8" s="10" t="s">
        <v>63</v>
      </c>
      <c r="S8" s="10" t="s">
        <v>63</v>
      </c>
    </row>
    <row r="9" spans="1:20" x14ac:dyDescent="0.3">
      <c r="A9" s="2">
        <f>A8+1</f>
        <v>95</v>
      </c>
      <c r="C9" s="7" t="str">
        <f>DEC2HEX(A9)</f>
        <v>5F</v>
      </c>
      <c r="D9" s="10" t="s">
        <v>15</v>
      </c>
      <c r="E9" s="8" t="s">
        <v>10</v>
      </c>
      <c r="F9" s="9" t="s">
        <v>23</v>
      </c>
      <c r="H9" s="10" t="s">
        <v>55</v>
      </c>
      <c r="I9" s="8" t="s">
        <v>16</v>
      </c>
      <c r="J9" s="10" t="s">
        <v>56</v>
      </c>
      <c r="K9" s="10" t="s">
        <v>16</v>
      </c>
      <c r="L9" s="10" t="s">
        <v>60</v>
      </c>
      <c r="M9" s="10" t="s">
        <v>73</v>
      </c>
      <c r="N9" s="10" t="s">
        <v>61</v>
      </c>
      <c r="O9" s="10" t="s">
        <v>74</v>
      </c>
      <c r="P9" s="10" t="s">
        <v>73</v>
      </c>
      <c r="Q9" s="10" t="s">
        <v>4</v>
      </c>
      <c r="R9" s="10" t="s">
        <v>60</v>
      </c>
      <c r="S9" s="10" t="s">
        <v>73</v>
      </c>
    </row>
    <row r="10" spans="1:20" x14ac:dyDescent="0.3">
      <c r="A10" s="2">
        <f>A9+1</f>
        <v>96</v>
      </c>
      <c r="C10" s="7" t="str">
        <f>DEC2HEX(A10)</f>
        <v>60</v>
      </c>
      <c r="D10" s="8" t="s">
        <v>13</v>
      </c>
      <c r="E10" s="8" t="s">
        <v>24</v>
      </c>
      <c r="F10" s="9" t="s">
        <v>30</v>
      </c>
      <c r="H10" s="10" t="s">
        <v>56</v>
      </c>
      <c r="I10" s="10" t="s">
        <v>14</v>
      </c>
      <c r="J10" s="10" t="s">
        <v>64</v>
      </c>
      <c r="K10" s="10" t="s">
        <v>14</v>
      </c>
      <c r="L10" s="10" t="s">
        <v>56</v>
      </c>
      <c r="M10" s="10" t="s">
        <v>14</v>
      </c>
      <c r="N10" s="10" t="s">
        <v>61</v>
      </c>
      <c r="O10" s="10" t="s">
        <v>70</v>
      </c>
      <c r="P10" s="10" t="s">
        <v>73</v>
      </c>
      <c r="Q10" s="10" t="s">
        <v>4</v>
      </c>
      <c r="R10" s="10" t="s">
        <v>63</v>
      </c>
      <c r="S10" s="10" t="s">
        <v>63</v>
      </c>
    </row>
    <row r="11" spans="1:20" x14ac:dyDescent="0.3">
      <c r="A11" s="2">
        <f>A10+1</f>
        <v>97</v>
      </c>
      <c r="C11" s="7" t="str">
        <f>DEC2HEX(A11)</f>
        <v>61</v>
      </c>
      <c r="D11" s="8">
        <v>4059</v>
      </c>
      <c r="E11" s="8" t="s">
        <v>25</v>
      </c>
      <c r="F11" s="9" t="s">
        <v>31</v>
      </c>
      <c r="H11" s="3"/>
      <c r="I11" s="17"/>
    </row>
    <row r="12" spans="1:20" x14ac:dyDescent="0.3">
      <c r="A12" s="2">
        <f>A11+1</f>
        <v>98</v>
      </c>
      <c r="C12" s="7" t="str">
        <f>DEC2HEX(A12)</f>
        <v>62</v>
      </c>
      <c r="D12" s="8" t="s">
        <v>16</v>
      </c>
      <c r="E12" s="8" t="s">
        <v>26</v>
      </c>
      <c r="F12" s="9" t="s">
        <v>32</v>
      </c>
      <c r="H12" s="3"/>
      <c r="I12" s="3"/>
    </row>
    <row r="13" spans="1:20" x14ac:dyDescent="0.3">
      <c r="A13" s="2">
        <f>A12+1</f>
        <v>99</v>
      </c>
      <c r="C13" s="7" t="str">
        <f>DEC2HEX(A13)</f>
        <v>63</v>
      </c>
      <c r="D13" s="10" t="s">
        <v>14</v>
      </c>
      <c r="E13" s="8" t="s">
        <v>19</v>
      </c>
      <c r="F13" s="9" t="s">
        <v>33</v>
      </c>
      <c r="H13" s="3"/>
      <c r="I13" s="3"/>
    </row>
    <row r="14" spans="1:20" x14ac:dyDescent="0.3">
      <c r="A14" s="2">
        <f>A13+1</f>
        <v>100</v>
      </c>
      <c r="C14" s="7" t="str">
        <f>DEC2HEX(A14)</f>
        <v>64</v>
      </c>
      <c r="D14" s="10" t="s">
        <v>15</v>
      </c>
      <c r="E14" s="8" t="s">
        <v>8</v>
      </c>
      <c r="F14" s="9" t="s">
        <v>27</v>
      </c>
      <c r="H14" s="3"/>
      <c r="I14" s="3"/>
    </row>
    <row r="15" spans="1:20" ht="15" thickBot="1" x14ac:dyDescent="0.35">
      <c r="A15" s="2">
        <f>A14+1</f>
        <v>101</v>
      </c>
      <c r="C15" s="11" t="str">
        <f>DEC2HEX(A15)</f>
        <v>65</v>
      </c>
      <c r="D15" s="12" t="s">
        <v>17</v>
      </c>
      <c r="E15" s="13" t="s">
        <v>9</v>
      </c>
      <c r="F15" s="14" t="s">
        <v>27</v>
      </c>
      <c r="H15" s="3"/>
      <c r="I15" s="3"/>
    </row>
    <row r="16" spans="1:20" x14ac:dyDescent="0.3">
      <c r="A16" s="2"/>
      <c r="I16" s="3"/>
    </row>
    <row r="17" spans="1:9" x14ac:dyDescent="0.3">
      <c r="A17" s="2"/>
      <c r="I17" s="3"/>
    </row>
    <row r="18" spans="1:9" x14ac:dyDescent="0.3">
      <c r="A18" s="2"/>
      <c r="I18" s="3"/>
    </row>
    <row r="19" spans="1:9" x14ac:dyDescent="0.3">
      <c r="A19" s="2"/>
    </row>
    <row r="20" spans="1:9" x14ac:dyDescent="0.3">
      <c r="A20" s="2"/>
    </row>
    <row r="21" spans="1:9" x14ac:dyDescent="0.3">
      <c r="A21" s="1"/>
    </row>
    <row r="22" spans="1:9" x14ac:dyDescent="0.3">
      <c r="A22" s="1"/>
    </row>
    <row r="23" spans="1:9" x14ac:dyDescent="0.3">
      <c r="A23" s="1"/>
    </row>
    <row r="24" spans="1:9" x14ac:dyDescent="0.3">
      <c r="A24" s="1"/>
    </row>
  </sheetData>
  <mergeCells count="3">
    <mergeCell ref="H1:I1"/>
    <mergeCell ref="J1:Q1"/>
    <mergeCell ref="R1:S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 Кулинич</dc:creator>
  <cp:lastModifiedBy>Ярослав Кулинич</cp:lastModifiedBy>
  <dcterms:created xsi:type="dcterms:W3CDTF">2015-06-05T18:19:34Z</dcterms:created>
  <dcterms:modified xsi:type="dcterms:W3CDTF">2019-12-08T12:40:47Z</dcterms:modified>
</cp:coreProperties>
</file>